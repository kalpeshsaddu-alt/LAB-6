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ae700689b9aa95/Documents/"/>
    </mc:Choice>
  </mc:AlternateContent>
  <xr:revisionPtr revIDLastSave="35" documentId="8_{A2621277-7055-41FE-8E36-C0209C747E23}" xr6:coauthVersionLast="47" xr6:coauthVersionMax="47" xr10:uidLastSave="{C93DD0BD-3F44-4592-A40A-8BD802F0AD80}"/>
  <bookViews>
    <workbookView xWindow="-108" yWindow="-108" windowWidth="23256" windowHeight="13896" xr2:uid="{56B9DACB-04FD-44D9-9BD8-2CBD5719D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J17" i="1"/>
  <c r="H17" i="1"/>
  <c r="D17" i="1"/>
  <c r="F17" i="1"/>
  <c r="B17" i="1"/>
  <c r="O3" i="1"/>
  <c r="O4" i="1"/>
  <c r="O5" i="1"/>
  <c r="O6" i="1"/>
  <c r="O7" i="1"/>
  <c r="O8" i="1"/>
  <c r="O9" i="1"/>
  <c r="O10" i="1"/>
  <c r="O11" i="1"/>
  <c r="O12" i="1"/>
  <c r="O2" i="1"/>
  <c r="N3" i="1"/>
  <c r="N4" i="1"/>
  <c r="N5" i="1"/>
  <c r="N6" i="1"/>
  <c r="N7" i="1"/>
  <c r="N8" i="1"/>
  <c r="N9" i="1"/>
  <c r="N10" i="1"/>
  <c r="N11" i="1"/>
  <c r="N12" i="1"/>
  <c r="N2" i="1"/>
  <c r="M3" i="1"/>
  <c r="M4" i="1"/>
  <c r="M5" i="1"/>
  <c r="M6" i="1"/>
  <c r="M7" i="1"/>
  <c r="M8" i="1"/>
  <c r="M9" i="1"/>
  <c r="M10" i="1"/>
  <c r="M11" i="1"/>
  <c r="M12" i="1"/>
  <c r="M2" i="1"/>
  <c r="L3" i="1"/>
  <c r="L4" i="1"/>
  <c r="L5" i="1"/>
  <c r="L6" i="1"/>
  <c r="L7" i="1"/>
  <c r="L8" i="1"/>
  <c r="L9" i="1"/>
  <c r="L10" i="1"/>
  <c r="L11" i="1"/>
  <c r="L12" i="1"/>
  <c r="L2" i="1"/>
  <c r="K3" i="1" a="1"/>
  <c r="K4" i="1" a="1"/>
  <c r="K5" i="1" a="1"/>
  <c r="K6" i="1" a="1"/>
  <c r="K7" i="1" a="1"/>
  <c r="K8" i="1" a="1"/>
  <c r="K9" i="1" a="1"/>
  <c r="K10" i="1" a="1"/>
  <c r="K11" i="1" a="1"/>
  <c r="K12" i="1" a="1"/>
  <c r="K2" i="1" a="1"/>
  <c r="J3" i="1"/>
  <c r="J4" i="1"/>
  <c r="J5" i="1"/>
  <c r="J6" i="1"/>
  <c r="J7" i="1"/>
  <c r="J8" i="1"/>
  <c r="J9" i="1"/>
  <c r="J10" i="1"/>
  <c r="J11" i="1"/>
  <c r="J12" i="1"/>
  <c r="J2" i="1"/>
  <c r="I3" i="1"/>
  <c r="I4" i="1"/>
  <c r="I5" i="1"/>
  <c r="I6" i="1"/>
  <c r="I7" i="1"/>
  <c r="I8" i="1"/>
  <c r="I9" i="1"/>
  <c r="I10" i="1"/>
  <c r="I11" i="1"/>
  <c r="I12" i="1"/>
  <c r="I2" i="1"/>
  <c r="H3" i="1"/>
  <c r="H4" i="1"/>
  <c r="H5" i="1"/>
  <c r="H6" i="1"/>
  <c r="H7" i="1"/>
  <c r="H8" i="1"/>
  <c r="H9" i="1"/>
  <c r="H10" i="1"/>
  <c r="H11" i="1"/>
  <c r="H12" i="1"/>
  <c r="H2" i="1"/>
  <c r="G3" i="1"/>
  <c r="G4" i="1"/>
  <c r="G5" i="1"/>
  <c r="G6" i="1"/>
  <c r="G7" i="1"/>
  <c r="G8" i="1"/>
  <c r="G9" i="1"/>
  <c r="G10" i="1"/>
  <c r="G11" i="1"/>
  <c r="G12" i="1"/>
  <c r="G2" i="1"/>
  <c r="E3" i="1"/>
  <c r="E4" i="1"/>
  <c r="E5" i="1"/>
  <c r="E6" i="1"/>
  <c r="E7" i="1"/>
  <c r="E8" i="1"/>
  <c r="E9" i="1"/>
  <c r="E10" i="1"/>
  <c r="E11" i="1"/>
  <c r="E12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<sst xmlns="http://schemas.openxmlformats.org/spreadsheetml/2006/main" count="43" uniqueCount="33">
  <si>
    <t>Employee</t>
  </si>
  <si>
    <t>Department</t>
  </si>
  <si>
    <t>Salary</t>
  </si>
  <si>
    <t>Sales</t>
  </si>
  <si>
    <t>Performance Score</t>
  </si>
  <si>
    <t>Rahul</t>
  </si>
  <si>
    <t>Priya</t>
  </si>
  <si>
    <t>HR</t>
  </si>
  <si>
    <t>Amit</t>
  </si>
  <si>
    <t>Sneha</t>
  </si>
  <si>
    <t>IT</t>
  </si>
  <si>
    <t>Karan</t>
  </si>
  <si>
    <t>Neha</t>
  </si>
  <si>
    <t>Rohit</t>
  </si>
  <si>
    <t>Pooja</t>
  </si>
  <si>
    <t>Akash</t>
  </si>
  <si>
    <t>Meena</t>
  </si>
  <si>
    <t>COLUMN 1</t>
  </si>
  <si>
    <t>COLUMN 2</t>
  </si>
  <si>
    <t>COLUMN 3</t>
  </si>
  <si>
    <t>COLUMN 4</t>
  </si>
  <si>
    <t>COLUMN 5</t>
  </si>
  <si>
    <t>COLUMN 6</t>
  </si>
  <si>
    <t xml:space="preserve">COLUMN 7  </t>
  </si>
  <si>
    <t>COLUMN 8</t>
  </si>
  <si>
    <t xml:space="preserve">COLUMN 9 </t>
  </si>
  <si>
    <t>COLUMN 10</t>
  </si>
  <si>
    <t>SUMIF</t>
  </si>
  <si>
    <t>AVERAGEIF</t>
  </si>
  <si>
    <t>COUNTIF</t>
  </si>
  <si>
    <t>SUMIFS</t>
  </si>
  <si>
    <t>AVERAGEIFS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</si>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</sst>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1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/>
      </bottom>
      <diagonal/>
    </border>
    <border>
      <left/>
      <right/>
      <top style="thin">
        <color theme="4" tint="0.39994506668294322"/>
      </top>
      <bottom style="thin">
        <color theme="4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46C0-7159-4C40-8924-937210B69672}">
  <dimension ref="A1:O17"/>
  <sheetViews>
    <sheetView tabSelected="1" workbookViewId="0">
      <selection activeCell="L18" sqref="L18"/>
    </sheetView>
  </sheetViews>
  <sheetFormatPr defaultRowHeight="14.4" x14ac:dyDescent="0.3"/>
  <cols>
    <col min="1" max="1" width="14" style="13" customWidth="1"/>
    <col min="2" max="2" width="15.6640625" style="13" customWidth="1"/>
    <col min="3" max="3" width="13.44140625" style="13" customWidth="1"/>
    <col min="4" max="5" width="14.21875" style="13" customWidth="1"/>
    <col min="6" max="6" width="15.88671875" style="13" customWidth="1"/>
    <col min="7" max="7" width="10.21875" customWidth="1"/>
    <col min="8" max="8" width="10" customWidth="1"/>
    <col min="9" max="9" width="10.109375" customWidth="1"/>
    <col min="10" max="10" width="12.77734375" customWidth="1"/>
    <col min="11" max="11" width="9.77734375" customWidth="1"/>
    <col min="12" max="12" width="10.33203125" customWidth="1"/>
    <col min="13" max="13" width="9.77734375" customWidth="1"/>
    <col min="14" max="14" width="10.77734375" customWidth="1"/>
    <col min="15" max="15" width="11" customWidth="1"/>
  </cols>
  <sheetData>
    <row r="1" spans="1:15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3" t="s">
        <v>4</v>
      </c>
      <c r="G1" s="14" t="s">
        <v>18</v>
      </c>
      <c r="H1" s="14" t="s">
        <v>19</v>
      </c>
      <c r="I1" s="14" t="s">
        <v>20</v>
      </c>
      <c r="J1" s="14" t="s">
        <v>21</v>
      </c>
      <c r="K1" s="14" t="s">
        <v>22</v>
      </c>
      <c r="L1" s="14" t="s">
        <v>23</v>
      </c>
      <c r="M1" s="14" t="s">
        <v>24</v>
      </c>
      <c r="N1" s="14" t="s">
        <v>25</v>
      </c>
      <c r="O1" s="14" t="s">
        <v>26</v>
      </c>
    </row>
    <row r="2" spans="1:15" x14ac:dyDescent="0.3">
      <c r="A2" s="4" t="s">
        <v>5</v>
      </c>
      <c r="B2" s="5" t="s">
        <v>3</v>
      </c>
      <c r="C2" s="5">
        <v>35000</v>
      </c>
      <c r="D2" s="5">
        <v>85000</v>
      </c>
      <c r="E2" s="5">
        <f>IFERROR(10/D2,"ERROR")</f>
        <v>1.1764705882352942E-4</v>
      </c>
      <c r="F2" s="6">
        <v>82</v>
      </c>
      <c r="G2" t="str">
        <f>IF(F2&gt;75,"GOOD","BAD")</f>
        <v>GOOD</v>
      </c>
      <c r="H2" t="str">
        <f>IF(D2="85000","GOOD","BAD")</f>
        <v>BAD</v>
      </c>
      <c r="I2" t="str">
        <f>IF(C2="50000","GOOD","BAD")</f>
        <v>BAD</v>
      </c>
      <c r="J2" t="str">
        <f>IF(B2="HR","YES DEPT EXITS","NO DEPT EXITS")</f>
        <v>NO DEPT EXITS</v>
      </c>
      <c r="K2" t="str" cm="1">
        <f t="array" ref="K2">_xlfn.IFS(F2&gt;90,"A+",F2&gt;60,"B",F2,"C")</f>
        <v>B</v>
      </c>
      <c r="L2" t="str">
        <f>IF(F2&gt;90,"A",IF(F2&gt;75,"B",IF(F2&lt;=75,"C")))</f>
        <v>B</v>
      </c>
      <c r="M2" t="str">
        <f>IF(AND(B2="SALES",A2="RAHUL"),"YES","NO")</f>
        <v>YES</v>
      </c>
      <c r="N2" t="str">
        <f>IF(OR(B2="SALES",A2="RAHUL"),"YES","NO")</f>
        <v>YES</v>
      </c>
      <c r="O2" t="str">
        <f>IF(NOT(B2="SALES"),"YES","NO")</f>
        <v>NO</v>
      </c>
    </row>
    <row r="3" spans="1:15" x14ac:dyDescent="0.3">
      <c r="A3" s="7" t="s">
        <v>6</v>
      </c>
      <c r="B3" s="8" t="s">
        <v>7</v>
      </c>
      <c r="C3" s="8">
        <v>40000</v>
      </c>
      <c r="D3" s="8">
        <v>60000</v>
      </c>
      <c r="E3" s="5">
        <f t="shared" ref="E3:E12" si="0">IFERROR(10/D3,"ERROR")</f>
        <v>1.6666666666666666E-4</v>
      </c>
      <c r="F3" s="9">
        <v>75</v>
      </c>
      <c r="G3" t="str">
        <f t="shared" ref="G3:G12" si="1">IF(F3&gt;75,"GOOD","BAD")</f>
        <v>BAD</v>
      </c>
      <c r="H3" t="str">
        <f t="shared" ref="H3:H12" si="2">IF(D3="85000","GOOD","BAD")</f>
        <v>BAD</v>
      </c>
      <c r="I3" t="str">
        <f t="shared" ref="I3:I12" si="3">IF(C3="50000","GOOD","BAD")</f>
        <v>BAD</v>
      </c>
      <c r="J3" t="str">
        <f t="shared" ref="J3:J12" si="4">IF(B3="HR","YES DEPT EXITS","NO DEPT EXITS")</f>
        <v>YES DEPT EXITS</v>
      </c>
      <c r="K3" t="str" cm="1">
        <f t="array" ref="K3">_xlfn.IFS(F3&gt;90,"A+",F3&gt;60,"B",F3,"C")</f>
        <v>B</v>
      </c>
      <c r="L3" t="str">
        <f t="shared" ref="L3:L12" si="5">IF(F3&gt;90,"A",IF(F3&gt;75,"B",IF(F3&lt;=75,"C")))</f>
        <v>C</v>
      </c>
      <c r="M3" t="str">
        <f t="shared" ref="M3:M12" si="6">IF(AND(B3="SALES",A3="RAHUL"),"YES","NO")</f>
        <v>NO</v>
      </c>
      <c r="N3" t="str">
        <f t="shared" ref="N3:N12" si="7">IF(OR(B3="SALES",A3="RAHUL"),"YES","NO")</f>
        <v>NO</v>
      </c>
      <c r="O3" t="str">
        <f t="shared" ref="O3:O12" si="8">IF(NOT(B3="SALES"),"YES","NO")</f>
        <v>YES</v>
      </c>
    </row>
    <row r="4" spans="1:15" x14ac:dyDescent="0.3">
      <c r="A4" s="4" t="s">
        <v>8</v>
      </c>
      <c r="B4" s="5" t="s">
        <v>3</v>
      </c>
      <c r="C4" s="5">
        <v>45000</v>
      </c>
      <c r="D4" s="5">
        <v>95000</v>
      </c>
      <c r="E4" s="5">
        <f t="shared" si="0"/>
        <v>1.0526315789473685E-4</v>
      </c>
      <c r="F4" s="6">
        <v>91</v>
      </c>
      <c r="G4" t="str">
        <f t="shared" si="1"/>
        <v>GOOD</v>
      </c>
      <c r="H4" t="str">
        <f t="shared" si="2"/>
        <v>BAD</v>
      </c>
      <c r="I4" t="str">
        <f t="shared" si="3"/>
        <v>BAD</v>
      </c>
      <c r="J4" t="str">
        <f t="shared" si="4"/>
        <v>NO DEPT EXITS</v>
      </c>
      <c r="K4" t="str" cm="1">
        <f t="array" ref="K4">_xlfn.IFS(F4&gt;90,"A+",F4&gt;60,"B",F4,"C")</f>
        <v>A+</v>
      </c>
      <c r="L4" t="str">
        <f t="shared" si="5"/>
        <v>A</v>
      </c>
      <c r="M4" t="str">
        <f t="shared" si="6"/>
        <v>NO</v>
      </c>
      <c r="N4" t="str">
        <f t="shared" si="7"/>
        <v>YES</v>
      </c>
      <c r="O4" t="str">
        <f t="shared" si="8"/>
        <v>NO</v>
      </c>
    </row>
    <row r="5" spans="1:15" x14ac:dyDescent="0.3">
      <c r="A5" s="7" t="s">
        <v>9</v>
      </c>
      <c r="B5" s="8" t="s">
        <v>10</v>
      </c>
      <c r="C5" s="8">
        <v>50000</v>
      </c>
      <c r="D5" s="8">
        <v>70000</v>
      </c>
      <c r="E5" s="5">
        <f t="shared" si="0"/>
        <v>1.4285714285714287E-4</v>
      </c>
      <c r="F5" s="9">
        <v>88</v>
      </c>
      <c r="G5" t="str">
        <f t="shared" si="1"/>
        <v>GOOD</v>
      </c>
      <c r="H5" t="str">
        <f t="shared" si="2"/>
        <v>BAD</v>
      </c>
      <c r="I5" t="str">
        <f t="shared" si="3"/>
        <v>BAD</v>
      </c>
      <c r="J5" t="str">
        <f t="shared" si="4"/>
        <v>NO DEPT EXITS</v>
      </c>
      <c r="K5" t="str" cm="1">
        <f t="array" ref="K5">_xlfn.IFS(F5&gt;90,"A+",F5&gt;60,"B",F5,"C")</f>
        <v>B</v>
      </c>
      <c r="L5" t="str">
        <f t="shared" si="5"/>
        <v>B</v>
      </c>
      <c r="M5" t="str">
        <f t="shared" si="6"/>
        <v>NO</v>
      </c>
      <c r="N5" t="str">
        <f t="shared" si="7"/>
        <v>NO</v>
      </c>
      <c r="O5" t="str">
        <f t="shared" si="8"/>
        <v>YES</v>
      </c>
    </row>
    <row r="6" spans="1:15" x14ac:dyDescent="0.3">
      <c r="A6" s="4" t="s">
        <v>11</v>
      </c>
      <c r="B6" s="5" t="s">
        <v>3</v>
      </c>
      <c r="C6" s="5">
        <v>38000</v>
      </c>
      <c r="D6" s="5">
        <v>78000</v>
      </c>
      <c r="E6" s="5">
        <f t="shared" si="0"/>
        <v>1.2820512820512821E-4</v>
      </c>
      <c r="F6" s="6">
        <v>72</v>
      </c>
      <c r="G6" t="str">
        <f t="shared" si="1"/>
        <v>BAD</v>
      </c>
      <c r="H6" t="str">
        <f t="shared" si="2"/>
        <v>BAD</v>
      </c>
      <c r="I6" t="str">
        <f t="shared" si="3"/>
        <v>BAD</v>
      </c>
      <c r="J6" t="str">
        <f t="shared" si="4"/>
        <v>NO DEPT EXITS</v>
      </c>
      <c r="K6" t="str" cm="1">
        <f t="array" ref="K6">_xlfn.IFS(F6&gt;90,"A+",F6&gt;60,"B",F6,"C")</f>
        <v>B</v>
      </c>
      <c r="L6" t="str">
        <f t="shared" si="5"/>
        <v>C</v>
      </c>
      <c r="M6" t="str">
        <f t="shared" si="6"/>
        <v>NO</v>
      </c>
      <c r="N6" t="str">
        <f t="shared" si="7"/>
        <v>YES</v>
      </c>
      <c r="O6" t="str">
        <f t="shared" si="8"/>
        <v>NO</v>
      </c>
    </row>
    <row r="7" spans="1:15" x14ac:dyDescent="0.3">
      <c r="A7" s="7" t="s">
        <v>12</v>
      </c>
      <c r="B7" s="8" t="s">
        <v>7</v>
      </c>
      <c r="C7" s="8">
        <v>42000</v>
      </c>
      <c r="D7" s="8">
        <v>65000</v>
      </c>
      <c r="E7" s="5">
        <f t="shared" si="0"/>
        <v>1.5384615384615385E-4</v>
      </c>
      <c r="F7" s="9">
        <v>80</v>
      </c>
      <c r="G7" t="str">
        <f t="shared" si="1"/>
        <v>GOOD</v>
      </c>
      <c r="H7" t="str">
        <f t="shared" si="2"/>
        <v>BAD</v>
      </c>
      <c r="I7" t="str">
        <f t="shared" si="3"/>
        <v>BAD</v>
      </c>
      <c r="J7" t="str">
        <f t="shared" si="4"/>
        <v>YES DEPT EXITS</v>
      </c>
      <c r="K7" t="str" cm="1">
        <f t="array" ref="K7">_xlfn.IFS(F7&gt;90,"A+",F7&gt;60,"B",F7,"C")</f>
        <v>B</v>
      </c>
      <c r="L7" t="str">
        <f t="shared" si="5"/>
        <v>B</v>
      </c>
      <c r="M7" t="str">
        <f t="shared" si="6"/>
        <v>NO</v>
      </c>
      <c r="N7" t="str">
        <f t="shared" si="7"/>
        <v>NO</v>
      </c>
      <c r="O7" t="str">
        <f t="shared" si="8"/>
        <v>YES</v>
      </c>
    </row>
    <row r="8" spans="1:15" x14ac:dyDescent="0.3">
      <c r="A8" s="4" t="s">
        <v>13</v>
      </c>
      <c r="B8" s="5" t="s">
        <v>10</v>
      </c>
      <c r="C8" s="5">
        <v>55000</v>
      </c>
      <c r="D8" s="5">
        <v>105000</v>
      </c>
      <c r="E8" s="5">
        <f t="shared" si="0"/>
        <v>9.5238095238095241E-5</v>
      </c>
      <c r="F8" s="6">
        <v>95</v>
      </c>
      <c r="G8" t="str">
        <f t="shared" si="1"/>
        <v>GOOD</v>
      </c>
      <c r="H8" t="str">
        <f t="shared" si="2"/>
        <v>BAD</v>
      </c>
      <c r="I8" t="str">
        <f t="shared" si="3"/>
        <v>BAD</v>
      </c>
      <c r="J8" t="str">
        <f t="shared" si="4"/>
        <v>NO DEPT EXITS</v>
      </c>
      <c r="K8" t="str" cm="1">
        <f t="array" ref="K8">_xlfn.IFS(F8&gt;90,"A+",F8&gt;60,"B",F8,"C")</f>
        <v>A+</v>
      </c>
      <c r="L8" t="str">
        <f t="shared" si="5"/>
        <v>A</v>
      </c>
      <c r="M8" t="str">
        <f t="shared" si="6"/>
        <v>NO</v>
      </c>
      <c r="N8" t="str">
        <f t="shared" si="7"/>
        <v>NO</v>
      </c>
      <c r="O8" t="str">
        <f t="shared" si="8"/>
        <v>YES</v>
      </c>
    </row>
    <row r="9" spans="1:15" x14ac:dyDescent="0.3">
      <c r="A9" s="7" t="s">
        <v>14</v>
      </c>
      <c r="B9" s="8" t="s">
        <v>3</v>
      </c>
      <c r="C9" s="8">
        <v>36000</v>
      </c>
      <c r="D9" s="8">
        <v>72000</v>
      </c>
      <c r="E9" s="5">
        <f t="shared" si="0"/>
        <v>1.3888888888888889E-4</v>
      </c>
      <c r="F9" s="9">
        <v>68</v>
      </c>
      <c r="G9" t="str">
        <f t="shared" si="1"/>
        <v>BAD</v>
      </c>
      <c r="H9" t="str">
        <f t="shared" si="2"/>
        <v>BAD</v>
      </c>
      <c r="I9" t="str">
        <f t="shared" si="3"/>
        <v>BAD</v>
      </c>
      <c r="J9" t="str">
        <f t="shared" si="4"/>
        <v>NO DEPT EXITS</v>
      </c>
      <c r="K9" t="str" cm="1">
        <f t="array" ref="K9">_xlfn.IFS(F9&gt;90,"A+",F9&gt;60,"B",F9,"C")</f>
        <v>B</v>
      </c>
      <c r="L9" t="str">
        <f t="shared" si="5"/>
        <v>C</v>
      </c>
      <c r="M9" t="str">
        <f t="shared" si="6"/>
        <v>NO</v>
      </c>
      <c r="N9" t="str">
        <f t="shared" si="7"/>
        <v>YES</v>
      </c>
      <c r="O9" t="str">
        <f t="shared" si="8"/>
        <v>NO</v>
      </c>
    </row>
    <row r="10" spans="1:15" x14ac:dyDescent="0.3">
      <c r="A10" s="4" t="s">
        <v>15</v>
      </c>
      <c r="B10" s="5" t="s">
        <v>10</v>
      </c>
      <c r="C10" s="5">
        <v>48000</v>
      </c>
      <c r="D10" s="5">
        <v>90000</v>
      </c>
      <c r="E10" s="5">
        <f t="shared" si="0"/>
        <v>1.1111111111111112E-4</v>
      </c>
      <c r="F10" s="6">
        <v>85</v>
      </c>
      <c r="G10" t="str">
        <f t="shared" si="1"/>
        <v>GOOD</v>
      </c>
      <c r="H10" t="str">
        <f t="shared" si="2"/>
        <v>BAD</v>
      </c>
      <c r="I10" t="str">
        <f t="shared" si="3"/>
        <v>BAD</v>
      </c>
      <c r="J10" t="str">
        <f t="shared" si="4"/>
        <v>NO DEPT EXITS</v>
      </c>
      <c r="K10" t="str" cm="1">
        <f t="array" ref="K10">_xlfn.IFS(F10&gt;90,"A+",F10&gt;60,"B",F10,"C")</f>
        <v>B</v>
      </c>
      <c r="L10" t="str">
        <f t="shared" si="5"/>
        <v>B</v>
      </c>
      <c r="M10" t="str">
        <f t="shared" si="6"/>
        <v>NO</v>
      </c>
      <c r="N10" t="str">
        <f t="shared" si="7"/>
        <v>NO</v>
      </c>
      <c r="O10" t="str">
        <f t="shared" si="8"/>
        <v>YES</v>
      </c>
    </row>
    <row r="11" spans="1:15" x14ac:dyDescent="0.3">
      <c r="A11" s="7" t="s">
        <v>16</v>
      </c>
      <c r="B11" s="8" t="s">
        <v>7</v>
      </c>
      <c r="C11" s="8">
        <v>39000</v>
      </c>
      <c r="D11" s="8">
        <v>58000</v>
      </c>
      <c r="E11" s="5">
        <f t="shared" si="0"/>
        <v>1.7241379310344826E-4</v>
      </c>
      <c r="F11" s="9">
        <v>70</v>
      </c>
      <c r="G11" t="str">
        <f t="shared" si="1"/>
        <v>BAD</v>
      </c>
      <c r="H11" t="str">
        <f t="shared" si="2"/>
        <v>BAD</v>
      </c>
      <c r="I11" t="str">
        <f t="shared" si="3"/>
        <v>BAD</v>
      </c>
      <c r="J11" t="str">
        <f t="shared" si="4"/>
        <v>YES DEPT EXITS</v>
      </c>
      <c r="K11" t="str" cm="1">
        <f t="array" ref="K11">_xlfn.IFS(F11&gt;90,"A+",F11&gt;60,"B",F11,"C")</f>
        <v>B</v>
      </c>
      <c r="L11" t="str">
        <f t="shared" si="5"/>
        <v>C</v>
      </c>
      <c r="M11" t="str">
        <f t="shared" si="6"/>
        <v>NO</v>
      </c>
      <c r="N11" t="str">
        <f t="shared" si="7"/>
        <v>NO</v>
      </c>
      <c r="O11" t="str">
        <f t="shared" si="8"/>
        <v>YES</v>
      </c>
    </row>
    <row r="12" spans="1:15" x14ac:dyDescent="0.3">
      <c r="A12" s="10" t="s">
        <v>5</v>
      </c>
      <c r="B12" s="11" t="s">
        <v>3</v>
      </c>
      <c r="C12" s="11">
        <v>35000</v>
      </c>
      <c r="D12" s="11">
        <v>85000</v>
      </c>
      <c r="E12" s="5">
        <f t="shared" si="0"/>
        <v>1.1764705882352942E-4</v>
      </c>
      <c r="F12" s="12">
        <v>82</v>
      </c>
      <c r="G12" t="str">
        <f t="shared" si="1"/>
        <v>GOOD</v>
      </c>
      <c r="H12" t="str">
        <f t="shared" si="2"/>
        <v>BAD</v>
      </c>
      <c r="I12" t="str">
        <f t="shared" si="3"/>
        <v>BAD</v>
      </c>
      <c r="J12" t="str">
        <f t="shared" si="4"/>
        <v>NO DEPT EXITS</v>
      </c>
      <c r="K12" t="str" cm="1">
        <f t="array" ref="K12">_xlfn.IFS(F12&gt;90,"A+",F12&gt;60,"B",F12,"C")</f>
        <v>B</v>
      </c>
      <c r="L12" t="str">
        <f t="shared" si="5"/>
        <v>B</v>
      </c>
      <c r="M12" t="str">
        <f t="shared" si="6"/>
        <v>YES</v>
      </c>
      <c r="N12" t="str">
        <f t="shared" si="7"/>
        <v>YES</v>
      </c>
      <c r="O12" t="str">
        <f t="shared" si="8"/>
        <v>NO</v>
      </c>
    </row>
    <row r="16" spans="1:15" x14ac:dyDescent="0.3">
      <c r="B16" s="13" t="s">
        <v>27</v>
      </c>
      <c r="D16" s="13" t="s">
        <v>28</v>
      </c>
      <c r="F16" s="13" t="s">
        <v>29</v>
      </c>
      <c r="H16" t="s">
        <v>30</v>
      </c>
      <c r="J16" t="s">
        <v>31</v>
      </c>
      <c r="L16" t="s">
        <v>32</v>
      </c>
    </row>
    <row r="17" spans="2:12" x14ac:dyDescent="0.3">
      <c r="B17" s="13">
        <f>SUMIF(B2:B12,"HR",D2:D12)</f>
        <v>183000</v>
      </c>
      <c r="D17" s="13">
        <f>AVERAGEIF(B2:B12,"HR",D2:D12)</f>
        <v>61000</v>
      </c>
      <c r="F17" s="13">
        <f>COUNTIF(B2:B12,"HR")</f>
        <v>3</v>
      </c>
      <c r="H17">
        <f>SUMIFS(D2:D12,B2:B12,"SALES",A2:A12,"RAHUL")</f>
        <v>170000</v>
      </c>
      <c r="J17">
        <f>AVERAGEIFS(D2:D12,B2:B12,"SALES",A2:A12,"RAHUL")</f>
        <v>85000</v>
      </c>
      <c r="L17">
        <f>COUNTIFS(B2:B12,"SALES",A2:A12,"RAHUL")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saddu</dc:creator>
  <cp:lastModifiedBy>kalpesh saddu</cp:lastModifiedBy>
  <dcterms:created xsi:type="dcterms:W3CDTF">2026-10-28T10:55:18Z</dcterms:created>
  <dcterms:modified xsi:type="dcterms:W3CDTF">2026-10-28T15:28:19Z</dcterms:modified>
</cp:coreProperties>
</file>